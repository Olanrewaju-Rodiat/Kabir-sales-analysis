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80B81E2-48D3-49D1-923F-97D412596228}" xr6:coauthVersionLast="47" xr6:coauthVersionMax="47" xr10:uidLastSave="{00000000-0000-0000-0000-000000000000}"/>
  <bookViews>
    <workbookView xWindow="-108" yWindow="-108" windowWidth="23256" windowHeight="12576" xr2:uid="{398CD13E-5E03-448D-BFE0-4DB51B960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6" i="1" l="1"/>
  <c r="S37" i="1"/>
  <c r="S35" i="1"/>
  <c r="M25" i="1"/>
  <c r="M33" i="1"/>
  <c r="M34" i="1"/>
  <c r="M32" i="1"/>
  <c r="T27" i="1"/>
  <c r="T28" i="1"/>
  <c r="T29" i="1"/>
  <c r="T30" i="1"/>
  <c r="T26" i="1"/>
  <c r="O17" i="1"/>
  <c r="O18" i="1"/>
  <c r="O19" i="1"/>
  <c r="O20" i="1"/>
  <c r="O16" i="1"/>
  <c r="N17" i="1"/>
  <c r="N18" i="1"/>
  <c r="N19" i="1"/>
  <c r="N20" i="1"/>
  <c r="N16" i="1"/>
  <c r="P5" i="1"/>
  <c r="P6" i="1"/>
  <c r="P7" i="1"/>
  <c r="P8" i="1"/>
  <c r="P4" i="1"/>
  <c r="J21" i="1"/>
  <c r="J20" i="1"/>
  <c r="J19" i="1"/>
  <c r="J18" i="1"/>
  <c r="J17" i="1"/>
  <c r="J16" i="1"/>
  <c r="I21" i="1"/>
  <c r="I20" i="1"/>
  <c r="I19" i="1"/>
  <c r="I18" i="1"/>
  <c r="I17" i="1"/>
  <c r="I16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K8" i="1" s="1"/>
  <c r="C7" i="1"/>
  <c r="C6" i="1"/>
  <c r="C5" i="1"/>
  <c r="C4" i="1"/>
  <c r="C3" i="1"/>
  <c r="M26" i="1" l="1"/>
  <c r="M27" i="1"/>
  <c r="J6" i="1"/>
  <c r="T21" i="1"/>
  <c r="T19" i="1"/>
  <c r="T17" i="1"/>
  <c r="J8" i="1"/>
  <c r="S20" i="1"/>
  <c r="U21" i="1"/>
  <c r="U17" i="1"/>
  <c r="U19" i="1"/>
  <c r="I6" i="1"/>
  <c r="I9" i="1"/>
  <c r="K9" i="1"/>
  <c r="K7" i="1"/>
  <c r="K5" i="1"/>
  <c r="S19" i="1"/>
  <c r="U20" i="1"/>
  <c r="U18" i="1"/>
  <c r="I8" i="1"/>
  <c r="J9" i="1"/>
  <c r="J7" i="1"/>
  <c r="J5" i="1"/>
  <c r="S17" i="1"/>
  <c r="S18" i="1"/>
  <c r="T20" i="1"/>
  <c r="T18" i="1"/>
  <c r="I7" i="1"/>
  <c r="K6" i="1"/>
  <c r="S21" i="1"/>
  <c r="I5" i="1"/>
</calcChain>
</file>

<file path=xl/sharedStrings.xml><?xml version="1.0" encoding="utf-8"?>
<sst xmlns="http://schemas.openxmlformats.org/spreadsheetml/2006/main" count="91" uniqueCount="33">
  <si>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</si>
  <si>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</si>
  <si>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</si>
  <si>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</si>
  <si>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</si>
  <si>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</si>
  <si>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</si>
  <si>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</si>
  <si>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Sum of Sales by Years</t>
  </si>
  <si>
    <t>Condition</t>
  </si>
  <si>
    <t>Quantity</t>
  </si>
  <si>
    <t>Tola</t>
  </si>
  <si>
    <t>COUNTIF</t>
  </si>
  <si>
    <t>Abdul</t>
  </si>
  <si>
    <t>Ada</t>
  </si>
  <si>
    <t>Ese</t>
  </si>
  <si>
    <t>FUNCTIONS</t>
  </si>
  <si>
    <t>Quantity Sold by Years</t>
  </si>
  <si>
    <t>SUM</t>
  </si>
  <si>
    <t>SUMIF</t>
  </si>
  <si>
    <t>MINIMUM</t>
  </si>
  <si>
    <t>MAXIMUM</t>
  </si>
  <si>
    <t>AVERAGE</t>
  </si>
  <si>
    <t>COUNT</t>
  </si>
  <si>
    <t>COUNTA</t>
  </si>
  <si>
    <t>Financial Contribution</t>
  </si>
  <si>
    <t>Total Revenue</t>
  </si>
  <si>
    <t>Total Quantity Sold</t>
  </si>
  <si>
    <t>Total Quantity Sold per year</t>
  </si>
  <si>
    <t>AVERAGEIF</t>
  </si>
  <si>
    <t>Average Quantity Sold per year</t>
  </si>
  <si>
    <t>Average Quantity Sold</t>
  </si>
  <si>
    <t>Yearly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</si>
</sst>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14" fontId="0" fillId="0" borderId="0" xfId="0" applyNumberFormat="1"/>
    <xf numFmtId="0" fontId="3" fillId="4" borderId="8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1" xfId="0" applyBorder="1"/>
    <xf numFmtId="0" fontId="0" fillId="0" borderId="10" xfId="0" applyBorder="1"/>
    <xf numFmtId="0" fontId="0" fillId="0" borderId="11" xfId="0" applyBorder="1"/>
    <xf numFmtId="43" fontId="1" fillId="0" borderId="12" xfId="1" applyFont="1" applyFill="1" applyBorder="1" applyAlignment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" xfId="0" applyFont="1" applyFill="1" applyBorder="1"/>
    <xf numFmtId="0" fontId="3" fillId="3" borderId="10" xfId="0" applyFont="1" applyFill="1" applyBorder="1"/>
    <xf numFmtId="0" fontId="0" fillId="0" borderId="12" xfId="0" applyBorder="1"/>
    <xf numFmtId="4" fontId="0" fillId="0" borderId="10" xfId="0" applyNumberFormat="1" applyBorder="1"/>
    <xf numFmtId="0" fontId="0" fillId="0" borderId="17" xfId="0" applyBorder="1"/>
    <xf numFmtId="0" fontId="0" fillId="0" borderId="18" xfId="0" applyBorder="1"/>
    <xf numFmtId="0" fontId="0" fillId="5" borderId="19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24" xfId="0" applyBorder="1"/>
    <xf numFmtId="0" fontId="0" fillId="0" borderId="24" xfId="0" applyBorder="1" applyAlignment="1">
      <alignment horizontal="left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5" borderId="25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19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1" fontId="0" fillId="0" borderId="20" xfId="0" applyNumberFormat="1" applyBorder="1"/>
    <xf numFmtId="1" fontId="0" fillId="0" borderId="22" xfId="0" applyNumberFormat="1" applyBorder="1"/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9D3D-F6A1-4BD7-B604-720E7B02E323}">
  <dimension ref="A1:V37"/>
  <sheetViews>
    <sheetView tabSelected="1" workbookViewId="0">
      <selection activeCell="S17" sqref="S17:U21"/>
    </sheetView>
  </sheetViews>
  <sheetFormatPr defaultRowHeight="14.4" x14ac:dyDescent="0.3"/>
  <cols>
    <col min="2" max="2" width="10.109375" bestFit="1" customWidth="1"/>
    <col min="6" max="6" width="9.109375" bestFit="1" customWidth="1"/>
    <col min="9" max="11" width="10.21875" bestFit="1" customWidth="1"/>
  </cols>
  <sheetData>
    <row r="1" spans="1:21" ht="24.6" x14ac:dyDescent="0.4">
      <c r="A1" s="1" t="s">
        <v>0</v>
      </c>
      <c r="B1" s="1"/>
      <c r="C1" s="1"/>
      <c r="D1" s="1"/>
      <c r="E1" s="1"/>
      <c r="F1" s="1"/>
    </row>
    <row r="2" spans="1:21" ht="18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21" ht="15" thickBot="1" x14ac:dyDescent="0.35">
      <c r="A3" s="3">
        <v>1</v>
      </c>
      <c r="B3" s="4">
        <v>40221</v>
      </c>
      <c r="C3" s="4" t="str">
        <f t="shared" ref="C3:C26" si="0">TEXT(B3,"YYYY")</f>
        <v>2010</v>
      </c>
      <c r="D3" s="3" t="s">
        <v>7</v>
      </c>
      <c r="E3" s="3">
        <v>76</v>
      </c>
      <c r="F3" s="5">
        <v>16720</v>
      </c>
      <c r="G3" s="6"/>
      <c r="I3" s="7" t="s">
        <v>8</v>
      </c>
      <c r="J3" s="8"/>
      <c r="K3" s="9"/>
      <c r="N3" s="10"/>
      <c r="O3" s="11" t="s">
        <v>9</v>
      </c>
      <c r="P3" s="12" t="s">
        <v>10</v>
      </c>
    </row>
    <row r="4" spans="1:21" x14ac:dyDescent="0.3">
      <c r="A4" s="3">
        <v>2</v>
      </c>
      <c r="B4" s="4">
        <v>40235</v>
      </c>
      <c r="C4" s="4" t="str">
        <f t="shared" si="0"/>
        <v>2010</v>
      </c>
      <c r="D4" s="3" t="s">
        <v>11</v>
      </c>
      <c r="E4" s="3">
        <v>59</v>
      </c>
      <c r="F4" s="5">
        <v>12980</v>
      </c>
      <c r="G4" s="13"/>
      <c r="H4" s="14" t="s">
        <v>4</v>
      </c>
      <c r="I4" s="15">
        <v>2010</v>
      </c>
      <c r="J4" s="16">
        <v>2011</v>
      </c>
      <c r="K4" s="17">
        <v>2012</v>
      </c>
      <c r="N4" s="18" t="s">
        <v>12</v>
      </c>
      <c r="O4" s="19" t="s">
        <v>13</v>
      </c>
      <c r="P4" s="20">
        <f>COUNTIF($D$3:$D$26,$O4)</f>
        <v>6</v>
      </c>
    </row>
    <row r="5" spans="1:21" x14ac:dyDescent="0.3">
      <c r="A5" s="3">
        <v>3</v>
      </c>
      <c r="B5" s="4">
        <v>40249</v>
      </c>
      <c r="C5" s="4" t="str">
        <f t="shared" si="0"/>
        <v>2010</v>
      </c>
      <c r="D5" s="3" t="s">
        <v>13</v>
      </c>
      <c r="E5" s="3">
        <v>56</v>
      </c>
      <c r="F5" s="5">
        <v>12320</v>
      </c>
      <c r="H5" s="21" t="s">
        <v>13</v>
      </c>
      <c r="I5" s="22">
        <f>SUMIFS($F$3:$F$26,$D$3:$D$26,$H5,$C$3:$C$26,I$4)</f>
        <v>12320</v>
      </c>
      <c r="J5" s="22">
        <f t="shared" ref="J5:K5" si="1">SUMIFS($F$3:$F$26,$D$3:$D$26,$H5,$C$3:$C$26,J$4)</f>
        <v>23100</v>
      </c>
      <c r="K5" s="22">
        <f t="shared" si="1"/>
        <v>25520</v>
      </c>
      <c r="N5" s="23"/>
      <c r="O5" s="19" t="s">
        <v>7</v>
      </c>
      <c r="P5" s="20">
        <f t="shared" ref="P5:P8" si="2">COUNTIF($D$3:$D$26,$O5)</f>
        <v>3</v>
      </c>
    </row>
    <row r="6" spans="1:21" x14ac:dyDescent="0.3">
      <c r="A6" s="3">
        <v>4</v>
      </c>
      <c r="B6" s="4">
        <v>40249</v>
      </c>
      <c r="C6" s="4" t="str">
        <f t="shared" si="0"/>
        <v>2010</v>
      </c>
      <c r="D6" s="3" t="s">
        <v>14</v>
      </c>
      <c r="E6" s="3">
        <v>48</v>
      </c>
      <c r="F6" s="5">
        <v>10560</v>
      </c>
      <c r="H6" s="21" t="s">
        <v>7</v>
      </c>
      <c r="I6" s="22">
        <f t="shared" ref="I6:K9" si="3">SUMIFS($F$3:$F$26,$D$3:$D$26,$H6,$C$3:$C$26,I$4)</f>
        <v>16720</v>
      </c>
      <c r="J6" s="22">
        <f t="shared" si="3"/>
        <v>6160</v>
      </c>
      <c r="K6" s="22">
        <f t="shared" si="3"/>
        <v>7920</v>
      </c>
      <c r="N6" s="23"/>
      <c r="O6" s="19" t="s">
        <v>14</v>
      </c>
      <c r="P6" s="20">
        <f t="shared" si="2"/>
        <v>5</v>
      </c>
    </row>
    <row r="7" spans="1:21" x14ac:dyDescent="0.3">
      <c r="A7" s="3">
        <v>5</v>
      </c>
      <c r="B7" s="4">
        <v>40418</v>
      </c>
      <c r="C7" s="4" t="str">
        <f t="shared" si="0"/>
        <v>2010</v>
      </c>
      <c r="D7" s="3" t="s">
        <v>11</v>
      </c>
      <c r="E7" s="3">
        <v>40</v>
      </c>
      <c r="F7" s="5">
        <v>8800</v>
      </c>
      <c r="H7" s="21" t="s">
        <v>14</v>
      </c>
      <c r="I7" s="22">
        <f t="shared" si="3"/>
        <v>26840</v>
      </c>
      <c r="J7" s="22">
        <f t="shared" si="3"/>
        <v>0</v>
      </c>
      <c r="K7" s="22">
        <f t="shared" si="3"/>
        <v>15840</v>
      </c>
      <c r="N7" s="23"/>
      <c r="O7" s="19" t="s">
        <v>15</v>
      </c>
      <c r="P7" s="20">
        <f t="shared" si="2"/>
        <v>3</v>
      </c>
    </row>
    <row r="8" spans="1:21" ht="15" thickBot="1" x14ac:dyDescent="0.35">
      <c r="A8" s="3">
        <v>6</v>
      </c>
      <c r="B8" s="4">
        <v>40418</v>
      </c>
      <c r="C8" s="4" t="str">
        <f t="shared" si="0"/>
        <v>2010</v>
      </c>
      <c r="D8" s="3" t="s">
        <v>15</v>
      </c>
      <c r="E8" s="3">
        <v>90</v>
      </c>
      <c r="F8" s="5">
        <v>19800</v>
      </c>
      <c r="H8" s="21" t="s">
        <v>15</v>
      </c>
      <c r="I8" s="22">
        <f t="shared" si="3"/>
        <v>19800</v>
      </c>
      <c r="J8" s="22">
        <f t="shared" si="3"/>
        <v>20900</v>
      </c>
      <c r="K8" s="22">
        <f t="shared" si="3"/>
        <v>11440</v>
      </c>
      <c r="N8" s="24"/>
      <c r="O8" s="25" t="s">
        <v>11</v>
      </c>
      <c r="P8" s="20">
        <f t="shared" si="2"/>
        <v>7</v>
      </c>
    </row>
    <row r="9" spans="1:21" ht="15" thickBot="1" x14ac:dyDescent="0.35">
      <c r="A9" s="3">
        <v>7</v>
      </c>
      <c r="B9" s="4">
        <v>40464</v>
      </c>
      <c r="C9" s="4" t="str">
        <f t="shared" si="0"/>
        <v>2010</v>
      </c>
      <c r="D9" s="3" t="s">
        <v>14</v>
      </c>
      <c r="E9" s="3">
        <v>24</v>
      </c>
      <c r="F9" s="5">
        <v>5280</v>
      </c>
      <c r="H9" s="26" t="s">
        <v>11</v>
      </c>
      <c r="I9" s="22">
        <f t="shared" si="3"/>
        <v>29040</v>
      </c>
      <c r="J9" s="22">
        <f t="shared" si="3"/>
        <v>33440</v>
      </c>
      <c r="K9" s="22">
        <f t="shared" si="3"/>
        <v>20240</v>
      </c>
    </row>
    <row r="10" spans="1:21" x14ac:dyDescent="0.3">
      <c r="A10" s="3">
        <v>8</v>
      </c>
      <c r="B10" s="4">
        <v>40505</v>
      </c>
      <c r="C10" s="4" t="str">
        <f t="shared" si="0"/>
        <v>2010</v>
      </c>
      <c r="D10" s="3" t="s">
        <v>14</v>
      </c>
      <c r="E10" s="3">
        <v>50</v>
      </c>
      <c r="F10" s="5">
        <v>11000</v>
      </c>
    </row>
    <row r="11" spans="1:21" x14ac:dyDescent="0.3">
      <c r="A11" s="3">
        <v>9</v>
      </c>
      <c r="B11" s="4">
        <v>40505</v>
      </c>
      <c r="C11" s="4" t="str">
        <f t="shared" si="0"/>
        <v>2010</v>
      </c>
      <c r="D11" s="3" t="s">
        <v>11</v>
      </c>
      <c r="E11" s="3">
        <v>33</v>
      </c>
      <c r="F11" s="5">
        <v>7260</v>
      </c>
    </row>
    <row r="12" spans="1:21" x14ac:dyDescent="0.3">
      <c r="A12" s="3">
        <v>10</v>
      </c>
      <c r="B12" s="4">
        <v>40611</v>
      </c>
      <c r="C12" s="4" t="str">
        <f t="shared" si="0"/>
        <v>2011</v>
      </c>
      <c r="D12" s="3" t="s">
        <v>15</v>
      </c>
      <c r="E12" s="3">
        <v>95</v>
      </c>
      <c r="F12" s="5">
        <v>20900</v>
      </c>
    </row>
    <row r="13" spans="1:21" ht="15" thickBot="1" x14ac:dyDescent="0.35">
      <c r="A13" s="3">
        <v>11</v>
      </c>
      <c r="B13" s="4">
        <v>40626</v>
      </c>
      <c r="C13" s="4" t="str">
        <f t="shared" si="0"/>
        <v>2011</v>
      </c>
      <c r="D13" s="3" t="s">
        <v>13</v>
      </c>
      <c r="E13" s="3">
        <v>57</v>
      </c>
      <c r="F13" s="5">
        <v>12540</v>
      </c>
    </row>
    <row r="14" spans="1:21" ht="15" thickBot="1" x14ac:dyDescent="0.35">
      <c r="A14" s="3">
        <v>12</v>
      </c>
      <c r="B14" s="4">
        <v>40693</v>
      </c>
      <c r="C14" s="4" t="str">
        <f t="shared" si="0"/>
        <v>2011</v>
      </c>
      <c r="D14" s="3" t="s">
        <v>13</v>
      </c>
      <c r="E14" s="3">
        <v>48</v>
      </c>
      <c r="F14" s="5">
        <v>10560</v>
      </c>
      <c r="H14" s="27" t="s">
        <v>16</v>
      </c>
      <c r="I14" s="28"/>
      <c r="J14" s="29"/>
    </row>
    <row r="15" spans="1:21" ht="15" thickBot="1" x14ac:dyDescent="0.35">
      <c r="A15" s="3">
        <v>13</v>
      </c>
      <c r="B15" s="4">
        <v>40711</v>
      </c>
      <c r="C15" s="4" t="str">
        <f t="shared" si="0"/>
        <v>2011</v>
      </c>
      <c r="D15" s="3" t="s">
        <v>11</v>
      </c>
      <c r="E15" s="3">
        <v>88</v>
      </c>
      <c r="F15" s="5">
        <v>19360</v>
      </c>
      <c r="H15" s="30"/>
      <c r="I15" s="31" t="s">
        <v>10</v>
      </c>
      <c r="J15" s="32" t="s">
        <v>6</v>
      </c>
      <c r="L15" s="10"/>
      <c r="M15" s="11" t="s">
        <v>9</v>
      </c>
      <c r="N15" s="11" t="s">
        <v>10</v>
      </c>
      <c r="O15" s="12" t="s">
        <v>6</v>
      </c>
      <c r="S15" s="7" t="s">
        <v>17</v>
      </c>
      <c r="T15" s="8"/>
      <c r="U15" s="9"/>
    </row>
    <row r="16" spans="1:21" x14ac:dyDescent="0.3">
      <c r="A16" s="3">
        <v>14</v>
      </c>
      <c r="B16" s="4">
        <v>40711</v>
      </c>
      <c r="C16" s="4" t="str">
        <f t="shared" si="0"/>
        <v>2011</v>
      </c>
      <c r="D16" s="3" t="s">
        <v>7</v>
      </c>
      <c r="E16" s="3">
        <v>28</v>
      </c>
      <c r="F16" s="5">
        <v>6160</v>
      </c>
      <c r="H16" s="33" t="s">
        <v>18</v>
      </c>
      <c r="I16" s="19">
        <f>SUM(E3:E26)</f>
        <v>1224</v>
      </c>
      <c r="J16" s="34">
        <f>SUM(F3:F26)</f>
        <v>269280</v>
      </c>
      <c r="L16" s="18" t="s">
        <v>19</v>
      </c>
      <c r="M16" s="19" t="s">
        <v>13</v>
      </c>
      <c r="N16" s="19">
        <f>SUMIF($D$3:$D$26,M16,$E$3:$E$26)</f>
        <v>277</v>
      </c>
      <c r="O16" s="19">
        <f>SUMIF($D$3:$D$26,$M16,$F$3:$F$26)</f>
        <v>60940</v>
      </c>
      <c r="R16" s="14" t="s">
        <v>4</v>
      </c>
      <c r="S16" s="15">
        <v>2010</v>
      </c>
      <c r="T16" s="16">
        <v>2011</v>
      </c>
      <c r="U16" s="17">
        <v>2012</v>
      </c>
    </row>
    <row r="17" spans="1:22" x14ac:dyDescent="0.3">
      <c r="A17" s="3">
        <v>15</v>
      </c>
      <c r="B17" s="4">
        <v>40734</v>
      </c>
      <c r="C17" s="4" t="str">
        <f t="shared" si="0"/>
        <v>2011</v>
      </c>
      <c r="D17" s="3" t="s">
        <v>11</v>
      </c>
      <c r="E17" s="3">
        <v>64</v>
      </c>
      <c r="F17" s="5">
        <v>14080</v>
      </c>
      <c r="H17" s="33" t="s">
        <v>20</v>
      </c>
      <c r="I17" s="19">
        <f>MIN(E3:E26)</f>
        <v>24</v>
      </c>
      <c r="J17" s="34">
        <f>MIN(F3:F26)</f>
        <v>5280</v>
      </c>
      <c r="L17" s="23"/>
      <c r="M17" s="19" t="s">
        <v>7</v>
      </c>
      <c r="N17" s="19">
        <f t="shared" ref="N17:N20" si="4">SUMIF($D$3:$D$26,M17,$E$3:$E$26)</f>
        <v>140</v>
      </c>
      <c r="O17" s="19">
        <f t="shared" ref="O17:O20" si="5">SUMIF($D$3:$D$26,$M17,$F$3:$F$26)</f>
        <v>30800</v>
      </c>
      <c r="R17" s="21" t="s">
        <v>13</v>
      </c>
      <c r="S17" s="22">
        <f>SUMIFS($E$3:$E$26,$D$3:$D$26,$R17,$C$3:$C$26,S$16)</f>
        <v>56</v>
      </c>
      <c r="T17" s="22">
        <f t="shared" ref="T17:U17" si="6">SUMIFS($E$3:$E$26,$D$3:$D$26,$R17,$C$3:$C$26,T$16)</f>
        <v>105</v>
      </c>
      <c r="U17" s="22">
        <f t="shared" si="6"/>
        <v>116</v>
      </c>
    </row>
    <row r="18" spans="1:22" x14ac:dyDescent="0.3">
      <c r="A18" s="3">
        <v>16</v>
      </c>
      <c r="B18" s="4">
        <v>40953</v>
      </c>
      <c r="C18" s="4" t="str">
        <f t="shared" si="0"/>
        <v>2012</v>
      </c>
      <c r="D18" s="3" t="s">
        <v>13</v>
      </c>
      <c r="E18" s="3">
        <v>51</v>
      </c>
      <c r="F18" s="5">
        <v>11220</v>
      </c>
      <c r="H18" s="33" t="s">
        <v>21</v>
      </c>
      <c r="I18" s="19">
        <f>MAX(E3:E26)</f>
        <v>95</v>
      </c>
      <c r="J18" s="34">
        <f>MAX(F3:F26)</f>
        <v>20900</v>
      </c>
      <c r="L18" s="23"/>
      <c r="M18" s="19" t="s">
        <v>14</v>
      </c>
      <c r="N18" s="19">
        <f t="shared" si="4"/>
        <v>194</v>
      </c>
      <c r="O18" s="19">
        <f t="shared" si="5"/>
        <v>42680</v>
      </c>
      <c r="R18" s="21" t="s">
        <v>7</v>
      </c>
      <c r="S18" s="22">
        <f t="shared" ref="S18:U21" si="7">SUMIFS($E$3:$E$26,$D$3:$D$26,$R18,$C$3:$C$26,S$16)</f>
        <v>76</v>
      </c>
      <c r="T18" s="22">
        <f t="shared" si="7"/>
        <v>28</v>
      </c>
      <c r="U18" s="22">
        <f t="shared" si="7"/>
        <v>36</v>
      </c>
    </row>
    <row r="19" spans="1:22" x14ac:dyDescent="0.3">
      <c r="A19" s="3">
        <v>17</v>
      </c>
      <c r="B19" s="4">
        <v>40953</v>
      </c>
      <c r="C19" s="4" t="str">
        <f t="shared" si="0"/>
        <v>2012</v>
      </c>
      <c r="D19" s="3" t="s">
        <v>14</v>
      </c>
      <c r="E19" s="3">
        <v>25</v>
      </c>
      <c r="F19" s="5">
        <v>5500</v>
      </c>
      <c r="H19" s="33" t="s">
        <v>22</v>
      </c>
      <c r="I19" s="19">
        <f>AVERAGE(E3:E26)</f>
        <v>51</v>
      </c>
      <c r="J19" s="34">
        <f>AVERAGE(F3:F26)</f>
        <v>11220</v>
      </c>
      <c r="L19" s="23"/>
      <c r="M19" s="19" t="s">
        <v>15</v>
      </c>
      <c r="N19" s="19">
        <f t="shared" si="4"/>
        <v>237</v>
      </c>
      <c r="O19" s="19">
        <f t="shared" si="5"/>
        <v>52140</v>
      </c>
      <c r="R19" s="21" t="s">
        <v>14</v>
      </c>
      <c r="S19" s="22">
        <f t="shared" si="7"/>
        <v>122</v>
      </c>
      <c r="T19" s="22">
        <f t="shared" si="7"/>
        <v>0</v>
      </c>
      <c r="U19" s="22">
        <f t="shared" si="7"/>
        <v>72</v>
      </c>
    </row>
    <row r="20" spans="1:22" ht="15" thickBot="1" x14ac:dyDescent="0.35">
      <c r="A20" s="3">
        <v>18</v>
      </c>
      <c r="B20" s="4">
        <v>41014</v>
      </c>
      <c r="C20" s="4" t="str">
        <f t="shared" si="0"/>
        <v>2012</v>
      </c>
      <c r="D20" s="3" t="s">
        <v>11</v>
      </c>
      <c r="E20" s="3">
        <v>32</v>
      </c>
      <c r="F20" s="5">
        <v>7040</v>
      </c>
      <c r="H20" s="33" t="s">
        <v>23</v>
      </c>
      <c r="I20" s="19">
        <f>COUNT(E3:E26)</f>
        <v>24</v>
      </c>
      <c r="J20" s="20">
        <f>COUNT(F3:F26)</f>
        <v>24</v>
      </c>
      <c r="L20" s="24"/>
      <c r="M20" s="25" t="s">
        <v>11</v>
      </c>
      <c r="N20" s="19">
        <f t="shared" si="4"/>
        <v>376</v>
      </c>
      <c r="O20" s="19">
        <f t="shared" si="5"/>
        <v>82720</v>
      </c>
      <c r="R20" s="21" t="s">
        <v>15</v>
      </c>
      <c r="S20" s="22">
        <f t="shared" si="7"/>
        <v>90</v>
      </c>
      <c r="T20" s="22">
        <f t="shared" si="7"/>
        <v>95</v>
      </c>
      <c r="U20" s="22">
        <f t="shared" si="7"/>
        <v>52</v>
      </c>
    </row>
    <row r="21" spans="1:22" ht="15" thickBot="1" x14ac:dyDescent="0.35">
      <c r="A21" s="3">
        <v>19</v>
      </c>
      <c r="B21" s="4">
        <v>41014</v>
      </c>
      <c r="C21" s="4" t="str">
        <f t="shared" si="0"/>
        <v>2012</v>
      </c>
      <c r="D21" s="3" t="s">
        <v>13</v>
      </c>
      <c r="E21" s="3">
        <v>24</v>
      </c>
      <c r="F21" s="5">
        <v>5280</v>
      </c>
      <c r="H21" s="35" t="s">
        <v>24</v>
      </c>
      <c r="I21" s="19">
        <f>COUNTA(E3:E26)</f>
        <v>24</v>
      </c>
      <c r="J21" s="36">
        <f>COUNTA(F3:F26)</f>
        <v>24</v>
      </c>
      <c r="R21" s="26" t="s">
        <v>11</v>
      </c>
      <c r="S21" s="22">
        <f t="shared" si="7"/>
        <v>132</v>
      </c>
      <c r="T21" s="22">
        <f t="shared" si="7"/>
        <v>152</v>
      </c>
      <c r="U21" s="22">
        <f t="shared" si="7"/>
        <v>92</v>
      </c>
    </row>
    <row r="22" spans="1:22" x14ac:dyDescent="0.3">
      <c r="A22" s="3">
        <v>20</v>
      </c>
      <c r="B22" s="4">
        <v>41068</v>
      </c>
      <c r="C22" s="4" t="str">
        <f t="shared" si="0"/>
        <v>2012</v>
      </c>
      <c r="D22" s="3" t="s">
        <v>14</v>
      </c>
      <c r="E22" s="3">
        <v>47</v>
      </c>
      <c r="F22" s="5">
        <v>10340</v>
      </c>
    </row>
    <row r="23" spans="1:22" x14ac:dyDescent="0.3">
      <c r="A23" s="3">
        <v>21</v>
      </c>
      <c r="B23" s="4">
        <v>41068</v>
      </c>
      <c r="C23" s="4" t="str">
        <f t="shared" si="0"/>
        <v>2012</v>
      </c>
      <c r="D23" s="3" t="s">
        <v>13</v>
      </c>
      <c r="E23" s="3">
        <v>41</v>
      </c>
      <c r="F23" s="5">
        <v>9020</v>
      </c>
      <c r="K23" s="48" t="s">
        <v>28</v>
      </c>
      <c r="L23" s="49"/>
      <c r="M23" s="49"/>
      <c r="N23" s="49"/>
      <c r="O23" s="50"/>
    </row>
    <row r="24" spans="1:22" x14ac:dyDescent="0.3">
      <c r="A24" s="3">
        <v>22</v>
      </c>
      <c r="B24" s="4">
        <v>41125</v>
      </c>
      <c r="C24" s="4" t="str">
        <f t="shared" si="0"/>
        <v>2012</v>
      </c>
      <c r="D24" s="3" t="s">
        <v>15</v>
      </c>
      <c r="E24" s="3">
        <v>52</v>
      </c>
      <c r="F24" s="5">
        <v>11440</v>
      </c>
      <c r="K24" s="37" t="s">
        <v>19</v>
      </c>
      <c r="L24" s="39" t="s">
        <v>3</v>
      </c>
      <c r="M24" s="39" t="s">
        <v>28</v>
      </c>
      <c r="N24" s="39"/>
      <c r="O24" s="39"/>
      <c r="R24" s="48" t="s">
        <v>25</v>
      </c>
      <c r="S24" s="49"/>
      <c r="T24" s="49"/>
      <c r="U24" s="49"/>
      <c r="V24" s="50"/>
    </row>
    <row r="25" spans="1:22" x14ac:dyDescent="0.3">
      <c r="A25" s="3">
        <v>23</v>
      </c>
      <c r="B25" s="4">
        <v>41183</v>
      </c>
      <c r="C25" s="4" t="str">
        <f t="shared" si="0"/>
        <v>2012</v>
      </c>
      <c r="D25" s="3" t="s">
        <v>7</v>
      </c>
      <c r="E25" s="3">
        <v>36</v>
      </c>
      <c r="F25" s="5">
        <v>7920</v>
      </c>
      <c r="K25" s="38"/>
      <c r="L25" s="40">
        <v>2010</v>
      </c>
      <c r="M25" s="41">
        <f>SUMIF($C$3:$C$26,$L25,$E$3:$E$26)</f>
        <v>476</v>
      </c>
      <c r="N25" s="42"/>
      <c r="O25" s="43"/>
      <c r="R25" s="51" t="s">
        <v>19</v>
      </c>
      <c r="S25" s="39" t="s">
        <v>4</v>
      </c>
      <c r="T25" s="45" t="s">
        <v>26</v>
      </c>
      <c r="U25" s="46"/>
      <c r="V25" s="47"/>
    </row>
    <row r="26" spans="1:22" x14ac:dyDescent="0.3">
      <c r="A26" s="3">
        <v>24</v>
      </c>
      <c r="B26" s="4">
        <v>41183</v>
      </c>
      <c r="C26" s="4" t="str">
        <f t="shared" si="0"/>
        <v>2012</v>
      </c>
      <c r="D26" s="3" t="s">
        <v>11</v>
      </c>
      <c r="E26" s="3">
        <v>60</v>
      </c>
      <c r="F26" s="5">
        <v>13200</v>
      </c>
      <c r="K26" s="38"/>
      <c r="L26" s="40">
        <v>2011</v>
      </c>
      <c r="M26" s="41">
        <f t="shared" ref="M26:M27" si="8">SUMIF($C$3:$C$26,$L26,$E$3:$E$26)</f>
        <v>380</v>
      </c>
      <c r="N26" s="42"/>
      <c r="O26" s="43"/>
      <c r="R26" s="52"/>
      <c r="S26" s="39" t="s">
        <v>13</v>
      </c>
      <c r="T26" s="41">
        <f>SUMIF($D$3:$D$26,$S26,$F$3:$F$26)</f>
        <v>60940</v>
      </c>
      <c r="U26" s="42"/>
      <c r="V26" s="43"/>
    </row>
    <row r="27" spans="1:22" x14ac:dyDescent="0.3">
      <c r="K27" s="44"/>
      <c r="L27" s="40">
        <v>2012</v>
      </c>
      <c r="M27" s="41">
        <f t="shared" si="8"/>
        <v>368</v>
      </c>
      <c r="N27" s="42"/>
      <c r="O27" s="43"/>
      <c r="R27" s="52"/>
      <c r="S27" s="39" t="s">
        <v>7</v>
      </c>
      <c r="T27" s="41">
        <f t="shared" ref="T27:T30" si="9">SUMIF($D$3:$D$26,$S27,$F$3:$F$26)</f>
        <v>30800</v>
      </c>
      <c r="U27" s="42"/>
      <c r="V27" s="43"/>
    </row>
    <row r="28" spans="1:22" x14ac:dyDescent="0.3">
      <c r="R28" s="52"/>
      <c r="S28" s="39" t="s">
        <v>11</v>
      </c>
      <c r="T28" s="41">
        <f t="shared" si="9"/>
        <v>82720</v>
      </c>
      <c r="U28" s="42"/>
      <c r="V28" s="43"/>
    </row>
    <row r="29" spans="1:22" x14ac:dyDescent="0.3">
      <c r="R29" s="52"/>
      <c r="S29" s="39" t="s">
        <v>14</v>
      </c>
      <c r="T29" s="41">
        <f t="shared" si="9"/>
        <v>42680</v>
      </c>
      <c r="U29" s="42"/>
      <c r="V29" s="43"/>
    </row>
    <row r="30" spans="1:22" x14ac:dyDescent="0.3">
      <c r="K30" s="48" t="s">
        <v>30</v>
      </c>
      <c r="L30" s="49"/>
      <c r="M30" s="49"/>
      <c r="N30" s="50"/>
      <c r="R30" s="53"/>
      <c r="S30" s="39" t="s">
        <v>15</v>
      </c>
      <c r="T30" s="41">
        <f t="shared" si="9"/>
        <v>52140</v>
      </c>
      <c r="U30" s="42"/>
      <c r="V30" s="43"/>
    </row>
    <row r="31" spans="1:22" x14ac:dyDescent="0.3">
      <c r="K31" s="37" t="s">
        <v>29</v>
      </c>
      <c r="L31" s="39" t="s">
        <v>3</v>
      </c>
      <c r="M31" s="39" t="s">
        <v>31</v>
      </c>
      <c r="N31" s="39"/>
    </row>
    <row r="32" spans="1:22" x14ac:dyDescent="0.3">
      <c r="K32" s="38"/>
      <c r="L32" s="40">
        <v>2010</v>
      </c>
      <c r="M32" s="54">
        <f>AVERAGEIF($C$3:$C$26,$L32,$E$3:$E$26)</f>
        <v>52.888888888888886</v>
      </c>
      <c r="N32" s="55"/>
    </row>
    <row r="33" spans="11:21" x14ac:dyDescent="0.3">
      <c r="K33" s="38"/>
      <c r="L33" s="40">
        <v>2011</v>
      </c>
      <c r="M33" s="54">
        <f t="shared" ref="M33:M34" si="10">AVERAGEIF($C$3:$C$26,$L33,$E$3:$E$26)</f>
        <v>63.333333333333336</v>
      </c>
      <c r="N33" s="55"/>
      <c r="R33" s="56" t="s">
        <v>32</v>
      </c>
      <c r="S33" s="57"/>
      <c r="T33" s="57"/>
      <c r="U33" s="58"/>
    </row>
    <row r="34" spans="11:21" x14ac:dyDescent="0.3">
      <c r="K34" s="44"/>
      <c r="L34" s="40">
        <v>2012</v>
      </c>
      <c r="M34" s="54">
        <f t="shared" si="10"/>
        <v>40.888888888888886</v>
      </c>
      <c r="N34" s="55"/>
      <c r="R34" s="40" t="s">
        <v>3</v>
      </c>
      <c r="S34" s="41" t="s">
        <v>27</v>
      </c>
      <c r="T34" s="42"/>
      <c r="U34" s="43"/>
    </row>
    <row r="35" spans="11:21" x14ac:dyDescent="0.3">
      <c r="R35" s="40">
        <v>2010</v>
      </c>
      <c r="S35" s="41">
        <f>SUMIF($C$3:$C$26,$R35,$E$3:$E$26)</f>
        <v>476</v>
      </c>
      <c r="T35" s="42"/>
      <c r="U35" s="43"/>
    </row>
    <row r="36" spans="11:21" x14ac:dyDescent="0.3">
      <c r="R36" s="40">
        <v>2011</v>
      </c>
      <c r="S36" s="41">
        <f t="shared" ref="S36:S37" si="11">SUMIF($C$3:$C$26,$R36,$E$3:$E$26)</f>
        <v>380</v>
      </c>
      <c r="T36" s="42"/>
      <c r="U36" s="43"/>
    </row>
    <row r="37" spans="11:21" x14ac:dyDescent="0.3">
      <c r="R37" s="40">
        <v>2012</v>
      </c>
      <c r="S37" s="41">
        <f t="shared" si="11"/>
        <v>368</v>
      </c>
      <c r="T37" s="42"/>
      <c r="U37" s="43"/>
    </row>
  </sheetData>
  <mergeCells count="29">
    <mergeCell ref="R33:U33"/>
    <mergeCell ref="S35:U35"/>
    <mergeCell ref="S36:U36"/>
    <mergeCell ref="S37:U37"/>
    <mergeCell ref="S34:U34"/>
    <mergeCell ref="K30:N30"/>
    <mergeCell ref="M32:N32"/>
    <mergeCell ref="M33:N33"/>
    <mergeCell ref="M34:N34"/>
    <mergeCell ref="K31:K34"/>
    <mergeCell ref="K24:K27"/>
    <mergeCell ref="R25:R30"/>
    <mergeCell ref="R24:V24"/>
    <mergeCell ref="T26:V26"/>
    <mergeCell ref="T27:V27"/>
    <mergeCell ref="T28:V28"/>
    <mergeCell ref="T29:V29"/>
    <mergeCell ref="T30:V30"/>
    <mergeCell ref="T25:V25"/>
    <mergeCell ref="K23:O23"/>
    <mergeCell ref="M25:O25"/>
    <mergeCell ref="M26:O26"/>
    <mergeCell ref="M27:O27"/>
    <mergeCell ref="A1:F1"/>
    <mergeCell ref="I3:K3"/>
    <mergeCell ref="N4:N8"/>
    <mergeCell ref="H14:J14"/>
    <mergeCell ref="S15:U15"/>
    <mergeCell ref="L16:L20"/>
  </mergeCells>
  <conditionalFormatting sqref="I4:K9">
    <cfRule type="cellIs" dxfId="8" priority="9" operator="greaterThan">
      <formula>15000</formula>
    </cfRule>
  </conditionalFormatting>
  <conditionalFormatting sqref="I5:K9">
    <cfRule type="cellIs" dxfId="7" priority="8" operator="lessThan">
      <formula>6000</formula>
    </cfRule>
  </conditionalFormatting>
  <conditionalFormatting sqref="I16:J21">
    <cfRule type="cellIs" dxfId="6" priority="7" operator="greaterThan">
      <formula>15000</formula>
    </cfRule>
    <cfRule type="cellIs" dxfId="5" priority="6" operator="lessThan">
      <formula>6000</formula>
    </cfRule>
  </conditionalFormatting>
  <conditionalFormatting sqref="N16:O20">
    <cfRule type="cellIs" dxfId="4" priority="5" operator="greaterThan">
      <formula>15000</formula>
    </cfRule>
    <cfRule type="cellIs" dxfId="3" priority="4" operator="lessThan">
      <formula>5000</formula>
    </cfRule>
  </conditionalFormatting>
  <conditionalFormatting sqref="S17:U21">
    <cfRule type="cellIs" dxfId="2" priority="3" operator="greaterThan">
      <formula>15000</formula>
    </cfRule>
    <cfRule type="cellIs" dxfId="1" priority="2" operator="lessThan">
      <formula>5000</formula>
    </cfRule>
  </conditionalFormatting>
  <conditionalFormatting sqref="M25:O27">
    <cfRule type="cellIs" dxfId="0" priority="1" operator="greaterThan">
      <formula>15000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Olanrewaju Wuraola</dc:creator>
  <cp:lastModifiedBy>Olanrewaju Wuraola</cp:lastModifiedBy>
  <dcterms:created xsi:type="dcterms:W3CDTF">2026-05-03T14:05:23Z</dcterms:created>
  <dcterms:modified xsi:type="dcterms:W3CDTF">2026-05-03T15:30:36Z</dcterms:modified>
</cp:coreProperties>
</file>